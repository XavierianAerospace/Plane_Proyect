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- Tilt-Rotor VTO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<sst xmlns="http://schemas.openxmlformats.org/spreadsheetml/2006/main" count="85" uniqueCount="77">
  <si>
    <t xml:space="preserve">RC Tilt-Rotor VTOL — Design Bill of Materials (BOM)</t>
  </si>
  <si>
    <t xml:space="preserve">Juan · Mechatronics Engineering, PUJ — Propulsion &amp; tilt-mechanism electronics</t>
  </si>
  <si>
    <t xml:space="preserve">MAIN LIST — Target Budget Selection</t>
  </si>
  <si>
    <t xml:space="preserve">Category</t>
  </si>
  <si>
    <t xml:space="preserve">Component</t>
  </si>
  <si>
    <t xml:space="preserve">Qty</t>
  </si>
  <si>
    <t xml:space="preserve">Key Characteristics</t>
  </si>
  <si>
    <t xml:space="preserve">Unit Price (USD)</t>
  </si>
  <si>
    <t xml:space="preserve">Total Price (USD)</t>
  </si>
  <si>
    <t xml:space="preserve">Notes / Source</t>
  </si>
  <si>
    <t xml:space="preserve">Motors (x3, one per rotor/tilt-arm)</t>
  </si>
  <si>
    <t xml:space="preserve">Motor</t>
  </si>
  <si>
    <t xml:space="preserve">FlashHobby Arthur A2807 1300KV</t>
  </si>
  <si>
    <t xml:space="preserve">2807 stator, 12N14P, ~56g w/ cable, 4mm shaft, 19x19mm mount (M2), 175W rated power, CNC 6061-T6 aluminum bell, NSK/NMB bearings. Suited to 7" props for hover + forward-flight thrust.</t>
  </si>
  <si>
    <t xml:space="preserve">Approx. street price (Banggood/RaceDayQuads), single unit, ex-shipping. Verify current stock.</t>
  </si>
  <si>
    <t xml:space="preserve">Motor (alt-in-main)</t>
  </si>
  <si>
    <t xml:space="preserve">EMAX ECO II 2807 1300KV</t>
  </si>
  <si>
    <t xml:space="preserve">2807 stator, N52SH arc magnets, 12mm EZO bearing, 19x19mm mount, mirror-polished bell. Listed as an equal option to the FlashHobby unit in your main selection.</t>
  </si>
  <si>
    <t xml:space="preserve">Range seen $16.99–$19.49 (GetFPV/RaceDayQuads/EMAX USA). Use ONE motor SKU only — this row is the alternate brand for the same main-list slot, not an extra purchase.</t>
  </si>
  <si>
    <t xml:space="preserve">Servos (x2, tilt-rotor actuation)</t>
  </si>
  <si>
    <t xml:space="preserve">Servo</t>
  </si>
  <si>
    <t xml:space="preserve">Corona DS-939MG Digital Metal Gear</t>
  </si>
  <si>
    <t xml:space="preserve">22.5x11.5x24.6mm, 12.5g, metal gear + MR85 ball bearing, coreless motor, 2.5–2.7kg·cm torque (4.8V/6V), 0.13–0.14s/60°, digital, 21T spline. Handles tilt-mechanism mechanical loads.</t>
  </si>
  <si>
    <t xml:space="preserve">Range seen $8.29–$11.90 (HobbyKing/RCecho). Confirm torque is adequate for your tilt-arm lever length under motor thrust load.</t>
  </si>
  <si>
    <t xml:space="preserve">ESCs (x3, one per motor)</t>
  </si>
  <si>
    <t xml:space="preserve">ESC</t>
  </si>
  <si>
    <t xml:space="preserve">Flycolor 45A BLHeli_S (single/individual)</t>
  </si>
  <si>
    <t xml:space="preserve">45A continuous / ~55A burst, 2–6S, BLHeli_S firmware, DShot150/300/600 support, runs cleanly off F405 signal pads. Individual (non 4-in-1) ESC so each motor/arm is electrically independent.</t>
  </si>
  <si>
    <t xml:space="preserve">Estimated from comparable single BLHeli_S 45A units (Flycolor/GoolRC/Readytosky $8–15); confirm exact SKU + price with a Colombia-reachable vendor (e.g. AliExpress/Banggood) before ordering.</t>
  </si>
  <si>
    <t xml:space="preserve">Flight Computer (x1)</t>
  </si>
  <si>
    <t xml:space="preserve">Flight Controller</t>
  </si>
  <si>
    <t xml:space="preserve">STM32 F405 Flight Controller (e.g. Matek F405-Wing V2 class)</t>
  </si>
  <si>
    <t xml:space="preserve">STM32F405RGT6 @168MHz, 1MB flash, 6x UART, 10x PWM outputs, dual BEC, IMU + barometer, OSD, microSD blackbox. Runs ArduPilot (ArduPlane/QuadPlane) or INAV for VTOL mixing.</t>
  </si>
  <si>
    <t xml:space="preserve">Range seen $58.87–$65 for Matek F405-Wing V2 class boards (Amazon/eBay). Confirm 10 PWM outputs cover 3 motors + 2 tilt servos + control surfaces.</t>
  </si>
  <si>
    <t xml:space="preserve">MAIN LIST SUBTOTAL (excl. duplicate motor alt.)</t>
  </si>
  <si>
    <t xml:space="preserve">SECONDARY LIST — Alternatives (price / quality trade-offs)</t>
  </si>
  <si>
    <t xml:space="preserve">Motors (x3) — Alternatives</t>
  </si>
  <si>
    <t xml:space="preserve">Motor - Option A</t>
  </si>
  <si>
    <t xml:space="preserve">Readytosky / Angel A2807 1300KV</t>
  </si>
  <si>
    <t xml:space="preserve">Entry-level clone motor, 2807 size, 1300KV. Lower-cost bearings/build tolerance than name-brand units.</t>
  </si>
  <si>
    <t xml:space="preserve">User-provided range $10–$12 each. Budget clone — inspect bearing play on arrival.</t>
  </si>
  <si>
    <t xml:space="preserve">Motor - Option B</t>
  </si>
  <si>
    <t xml:space="preserve">BrotherHobby SE 2807 1300KV</t>
  </si>
  <si>
    <t xml:space="preserve">Higher quality build, smoother bearings, better heat dissipation/management than budget clones.</t>
  </si>
  <si>
    <t xml:space="preserve">User-provided range $16–$18 each.</t>
  </si>
  <si>
    <t xml:space="preserve">Servos (x2) — Alternatives</t>
  </si>
  <si>
    <t xml:space="preserve">Servo - Option A</t>
  </si>
  <si>
    <t xml:space="preserve">Emax ES08MD II Digital Metal Gear</t>
  </si>
  <si>
    <t xml:space="preserve">Popular budget digital metal-gear servo. Note: ~12mm thick — check tilt-mechanism slot depth before committing.</t>
  </si>
  <si>
    <t xml:space="preserve">User-provided range $6–$8 each.</t>
  </si>
  <si>
    <t xml:space="preserve">Servo - Option B</t>
  </si>
  <si>
    <t xml:space="preserve">GDW DS041MG / Kingmax 1203MD (low-profile 9mm)</t>
  </si>
  <si>
    <t xml:space="preserve">Slim 9mm wing servos, fit flat inside thin 3D-printed wing sections — useful if tilt-arm housing is space-constrained.</t>
  </si>
  <si>
    <t xml:space="preserve">User-provided range $15–$18 each.</t>
  </si>
  <si>
    <t xml:space="preserve">ESCs (x3) — Alternatives</t>
  </si>
  <si>
    <t xml:space="preserve">ESC - Option A</t>
  </si>
  <si>
    <t xml:space="preserve">Spedix IS45A / Skystars 45A BLHeli_32</t>
  </si>
  <si>
    <t xml:space="preserve">32-bit upgrade over BLHeli_S — smoother telemetry and RPM filtering (useful for ArduPilot ESC telemetry / harmonic notch).</t>
  </si>
  <si>
    <t xml:space="preserve">User-provided range $10–$14 each.</t>
  </si>
  <si>
    <t xml:space="preserve">ESC - Option B</t>
  </si>
  <si>
    <t xml:space="preserve">Flycolor Francy 2 40A/50A</t>
  </si>
  <si>
    <t xml:space="preserve">Includes small integrated BEC — useful if the F405 board's high-current servo power output is insufficient for both tilt servos under load.</t>
  </si>
  <si>
    <t xml:space="preserve">Flight Computer (x1) — Alternative</t>
  </si>
  <si>
    <t xml:space="preserve">Flight Controller - Knockoff</t>
  </si>
  <si>
    <t xml:space="preserve">Generic/unbranded F405 clone (JHEMCU/HGLRC-style mini F405 board)</t>
  </si>
  <si>
    <t xml:space="preserve">STM32F405 MCU, unbranded PCB commonly sold on AliExpress/Banggood. Typically fewer UARTs/PWM outputs and looser QC than Matek-class boards; firmware target (ArduPilot 'MatekF405-Wing' or generic 'GENERIC') must be verified per listing, not assumed.</t>
  </si>
  <si>
    <t xml:space="preserve">Estimated from generic bare F405 clone listings (AliExpress/Banggood, ~$15–$25). Applies to BOTH Option A and Option B combos below — same FC slot either way.</t>
  </si>
  <si>
    <t xml:space="preserve">SECONDARY LIST SUBTOTAL — Option A combo (motors A + servos A + ESCs A + FC knockoff)</t>
  </si>
  <si>
    <t xml:space="preserve">SECONDARY LIST SUBTOTAL — Option B combo (motors B + servos B + ESCs B + FC knockoff)</t>
  </si>
  <si>
    <t xml:space="preserve">RECOMMENDED BUILD TOTAL (FlashHobby motors + Corona servos + Flycolor ESCs + F405 FC)</t>
  </si>
  <si>
    <t xml:space="preserve">Assumptions &amp; sourcing notes</t>
  </si>
  <si>
    <t xml:space="preserve">• All unit prices are approximate international retail (USD), sourced from Banggood, GetFPV, HobbyKing, Amazon, RaceDayQuads, WREKD Co. and EMAX USA listings, July 2026. They exclude shipping, customs/import duties into Colombia, and any local vendor markup.</t>
  </si>
  <si>
    <t xml:space="preserve">• Prices fluctuate by vendor and stock; re-verify before purchase, especially for items sourced from AliExpress/Banggood where shipping to Colombia can take 3–6 weeks.</t>
  </si>
  <si>
    <t xml:space="preserve">• The 'Main List' total counts ONE motor SKU (FlashHobby) + servos + ESCs + FC. The EMAX ECO II row is shown as a same-slot alternative, not additive — swap it in if you prefer that brand.</t>
  </si>
  <si>
    <t xml:space="preserve">• The 'Secondary List' now has two separate subtotals — Option A combo and Option B combo — each pricing ONE full alternative build (motors + servos + ESCs, all same letter) plus the F405 knockoff FC, which is shared by both combos since it's a single-item alternative to the main-list FC, not an A/B choice itself.</t>
  </si>
  <si>
    <t xml:space="preserve">• Flycolor 45A BLHeli_S single-ESC pricing is an estimate — I could not confirm an exact current listing/price for that specific individual (non-4-in-1) SKU; verify with your supplier before finalizing budget.</t>
  </si>
  <si>
    <t xml:space="preserve">• The F405 knockoff price is a rough estimate for an unbranded clone board; exact specs (UART/PWM count, IMU model) vary a lot between listings — treat this as a placeholder to size the budget, not a specific SKU to order.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</si>
</sst>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D9E1F2"/>
        <bgColor rgb="FFCCFFFF"/>
      </patternFill>
    </fill>
    <fill>
      <patternFill patternType="solid">
        <fgColor rgb="FFFFE699"/>
        <bgColor rgb="FFFFCC99"/>
      </patternFill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6"/>
    <col collapsed="false" customWidth="true" hidden="false" outlineLevel="0" max="4" min="4" style="0" width="62"/>
    <col collapsed="false" customWidth="true" hidden="false" outlineLevel="0" max="6" min="5" style="0" width="16"/>
    <col collapsed="false" customWidth="true" hidden="false" outlineLevel="0" max="7" min="7" style="0" width="3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5"/>
      <c r="C6" s="5"/>
      <c r="D6" s="5"/>
      <c r="E6" s="5"/>
      <c r="F6" s="5"/>
      <c r="G6" s="5"/>
    </row>
    <row r="7" customFormat="false" ht="42" hidden="false" customHeight="true" outlineLevel="0" collapsed="false">
      <c r="A7" s="6" t="s">
        <v>11</v>
      </c>
      <c r="B7" s="6" t="s">
        <v>12</v>
      </c>
      <c r="C7" s="6" t="n">
        <v>3</v>
      </c>
      <c r="D7" s="7" t="s">
        <v>13</v>
      </c>
      <c r="E7" s="8" t="n">
        <v>15.29</v>
      </c>
      <c r="F7" s="8" t="n">
        <f aca="false">C7*E7</f>
        <v>45.87</v>
      </c>
      <c r="G7" s="9" t="s">
        <v>14</v>
      </c>
    </row>
    <row r="8" customFormat="false" ht="42" hidden="false" customHeight="true" outlineLevel="0" collapsed="false">
      <c r="A8" s="6" t="s">
        <v>15</v>
      </c>
      <c r="B8" s="6" t="s">
        <v>16</v>
      </c>
      <c r="C8" s="6" t="n">
        <v>3</v>
      </c>
      <c r="D8" s="7" t="s">
        <v>17</v>
      </c>
      <c r="E8" s="8" t="n">
        <v>18.5</v>
      </c>
      <c r="F8" s="8" t="n">
        <f aca="false">C8*E8</f>
        <v>55.5</v>
      </c>
      <c r="G8" s="9" t="s">
        <v>18</v>
      </c>
    </row>
    <row r="9" customFormat="false" ht="15" hidden="false" customHeight="false" outlineLevel="0" collapsed="false">
      <c r="A9" s="5" t="s">
        <v>19</v>
      </c>
      <c r="B9" s="5"/>
      <c r="C9" s="5"/>
      <c r="D9" s="5"/>
      <c r="E9" s="5"/>
      <c r="F9" s="5"/>
      <c r="G9" s="5"/>
    </row>
    <row r="10" customFormat="false" ht="42" hidden="false" customHeight="true" outlineLevel="0" collapsed="false">
      <c r="A10" s="6" t="s">
        <v>20</v>
      </c>
      <c r="B10" s="6" t="s">
        <v>21</v>
      </c>
      <c r="C10" s="6" t="n">
        <v>2</v>
      </c>
      <c r="D10" s="7" t="s">
        <v>22</v>
      </c>
      <c r="E10" s="8" t="n">
        <v>9.5</v>
      </c>
      <c r="F10" s="8" t="n">
        <f aca="false">C10*E10</f>
        <v>19</v>
      </c>
      <c r="G10" s="9" t="s">
        <v>23</v>
      </c>
    </row>
    <row r="11" customFormat="false" ht="15" hidden="false" customHeight="false" outlineLevel="0" collapsed="false">
      <c r="A11" s="5" t="s">
        <v>24</v>
      </c>
      <c r="B11" s="5"/>
      <c r="C11" s="5"/>
      <c r="D11" s="5"/>
      <c r="E11" s="5"/>
      <c r="F11" s="5"/>
      <c r="G11" s="5"/>
    </row>
    <row r="12" customFormat="false" ht="42" hidden="false" customHeight="true" outlineLevel="0" collapsed="false">
      <c r="A12" s="6" t="s">
        <v>25</v>
      </c>
      <c r="B12" s="6" t="s">
        <v>26</v>
      </c>
      <c r="C12" s="6" t="n">
        <v>3</v>
      </c>
      <c r="D12" s="7" t="s">
        <v>27</v>
      </c>
      <c r="E12" s="8" t="n">
        <v>13.5</v>
      </c>
      <c r="F12" s="8" t="n">
        <f aca="false">C12*E12</f>
        <v>40.5</v>
      </c>
      <c r="G12" s="9" t="s">
        <v>28</v>
      </c>
    </row>
    <row r="13" customFormat="false" ht="15" hidden="false" customHeight="false" outlineLevel="0" collapsed="false">
      <c r="A13" s="5" t="s">
        <v>29</v>
      </c>
      <c r="B13" s="5"/>
      <c r="C13" s="5"/>
      <c r="D13" s="5"/>
      <c r="E13" s="5"/>
      <c r="F13" s="5"/>
      <c r="G13" s="5"/>
    </row>
    <row r="14" customFormat="false" ht="42" hidden="false" customHeight="true" outlineLevel="0" collapsed="false">
      <c r="A14" s="6" t="s">
        <v>30</v>
      </c>
      <c r="B14" s="6" t="s">
        <v>31</v>
      </c>
      <c r="C14" s="6" t="n">
        <v>1</v>
      </c>
      <c r="D14" s="7" t="s">
        <v>32</v>
      </c>
      <c r="E14" s="8" t="n">
        <v>62</v>
      </c>
      <c r="F14" s="8" t="n">
        <f aca="false">C14*E14</f>
        <v>62</v>
      </c>
      <c r="G14" s="9" t="s">
        <v>33</v>
      </c>
    </row>
    <row r="15" customFormat="false" ht="15" hidden="false" customHeight="false" outlineLevel="0" collapsed="false">
      <c r="A15" s="10" t="s">
        <v>34</v>
      </c>
      <c r="B15" s="10"/>
      <c r="C15" s="10"/>
      <c r="D15" s="10"/>
      <c r="E15" s="10"/>
      <c r="F15" s="11" t="n">
        <f aca="false">F7+F10+F12+F14</f>
        <v>167.37</v>
      </c>
      <c r="G15" s="12"/>
    </row>
    <row r="17" customFormat="false" ht="19.5" hidden="false" customHeight="true" outlineLevel="0" collapsed="false">
      <c r="A17" s="13" t="s">
        <v>35</v>
      </c>
      <c r="B17" s="13"/>
      <c r="C17" s="13"/>
      <c r="D17" s="13"/>
      <c r="E17" s="13"/>
      <c r="F17" s="13"/>
      <c r="G17" s="13"/>
    </row>
    <row r="18" customFormat="false" ht="15" hidden="false" customHeight="false" outlineLevel="0" collapsed="false">
      <c r="A18" s="4" t="s">
        <v>3</v>
      </c>
      <c r="B18" s="4" t="s">
        <v>4</v>
      </c>
      <c r="C18" s="4" t="s">
        <v>5</v>
      </c>
      <c r="D18" s="4" t="s">
        <v>6</v>
      </c>
      <c r="E18" s="4" t="s">
        <v>7</v>
      </c>
      <c r="F18" s="4" t="s">
        <v>8</v>
      </c>
      <c r="G18" s="4" t="s">
        <v>9</v>
      </c>
    </row>
    <row r="19" customFormat="false" ht="15" hidden="false" customHeight="false" outlineLevel="0" collapsed="false">
      <c r="A19" s="5" t="s">
        <v>36</v>
      </c>
      <c r="B19" s="5"/>
      <c r="C19" s="5"/>
      <c r="D19" s="5"/>
      <c r="E19" s="5"/>
      <c r="F19" s="5"/>
      <c r="G19" s="5"/>
    </row>
    <row r="20" customFormat="false" ht="42" hidden="false" customHeight="true" outlineLevel="0" collapsed="false">
      <c r="A20" s="6" t="s">
        <v>37</v>
      </c>
      <c r="B20" s="6" t="s">
        <v>38</v>
      </c>
      <c r="C20" s="6" t="n">
        <v>3</v>
      </c>
      <c r="D20" s="7" t="s">
        <v>39</v>
      </c>
      <c r="E20" s="8" t="n">
        <v>11</v>
      </c>
      <c r="F20" s="8" t="n">
        <f aca="false">C20*E20</f>
        <v>33</v>
      </c>
      <c r="G20" s="9" t="s">
        <v>40</v>
      </c>
    </row>
    <row r="21" customFormat="false" ht="42" hidden="false" customHeight="true" outlineLevel="0" collapsed="false">
      <c r="A21" s="6" t="s">
        <v>41</v>
      </c>
      <c r="B21" s="6" t="s">
        <v>42</v>
      </c>
      <c r="C21" s="6" t="n">
        <v>3</v>
      </c>
      <c r="D21" s="7" t="s">
        <v>43</v>
      </c>
      <c r="E21" s="8" t="n">
        <v>17</v>
      </c>
      <c r="F21" s="8" t="n">
        <f aca="false">C21*E21</f>
        <v>51</v>
      </c>
      <c r="G21" s="9" t="s">
        <v>44</v>
      </c>
    </row>
    <row r="22" customFormat="false" ht="15" hidden="false" customHeight="false" outlineLevel="0" collapsed="false">
      <c r="A22" s="5" t="s">
        <v>45</v>
      </c>
      <c r="B22" s="5"/>
      <c r="C22" s="5"/>
      <c r="D22" s="5"/>
      <c r="E22" s="5"/>
      <c r="F22" s="5"/>
      <c r="G22" s="5"/>
    </row>
    <row r="23" customFormat="false" ht="42" hidden="false" customHeight="true" outlineLevel="0" collapsed="false">
      <c r="A23" s="6" t="s">
        <v>46</v>
      </c>
      <c r="B23" s="6" t="s">
        <v>47</v>
      </c>
      <c r="C23" s="6" t="n">
        <v>2</v>
      </c>
      <c r="D23" s="7" t="s">
        <v>48</v>
      </c>
      <c r="E23" s="8" t="n">
        <v>7</v>
      </c>
      <c r="F23" s="8" t="n">
        <f aca="false">C23*E23</f>
        <v>14</v>
      </c>
      <c r="G23" s="9" t="s">
        <v>49</v>
      </c>
    </row>
    <row r="24" customFormat="false" ht="42" hidden="false" customHeight="true" outlineLevel="0" collapsed="false">
      <c r="A24" s="6" t="s">
        <v>50</v>
      </c>
      <c r="B24" s="6" t="s">
        <v>51</v>
      </c>
      <c r="C24" s="6" t="n">
        <v>2</v>
      </c>
      <c r="D24" s="7" t="s">
        <v>52</v>
      </c>
      <c r="E24" s="8" t="n">
        <v>16.5</v>
      </c>
      <c r="F24" s="8" t="n">
        <f aca="false">C24*E24</f>
        <v>33</v>
      </c>
      <c r="G24" s="9" t="s">
        <v>53</v>
      </c>
    </row>
    <row r="25" customFormat="false" ht="15" hidden="false" customHeight="false" outlineLevel="0" collapsed="false">
      <c r="A25" s="5" t="s">
        <v>54</v>
      </c>
      <c r="B25" s="5"/>
      <c r="C25" s="5"/>
      <c r="D25" s="5"/>
      <c r="E25" s="5"/>
      <c r="F25" s="5"/>
      <c r="G25" s="5"/>
    </row>
    <row r="26" customFormat="false" ht="42" hidden="false" customHeight="true" outlineLevel="0" collapsed="false">
      <c r="A26" s="6" t="s">
        <v>55</v>
      </c>
      <c r="B26" s="6" t="s">
        <v>56</v>
      </c>
      <c r="C26" s="6" t="n">
        <v>3</v>
      </c>
      <c r="D26" s="7" t="s">
        <v>57</v>
      </c>
      <c r="E26" s="8" t="n">
        <v>12</v>
      </c>
      <c r="F26" s="8" t="n">
        <f aca="false">C26*E26</f>
        <v>36</v>
      </c>
      <c r="G26" s="9" t="s">
        <v>58</v>
      </c>
    </row>
    <row r="27" customFormat="false" ht="42" hidden="false" customHeight="true" outlineLevel="0" collapsed="false">
      <c r="A27" s="6" t="s">
        <v>59</v>
      </c>
      <c r="B27" s="6" t="s">
        <v>60</v>
      </c>
      <c r="C27" s="6" t="n">
        <v>3</v>
      </c>
      <c r="D27" s="7" t="s">
        <v>61</v>
      </c>
      <c r="E27" s="8" t="n">
        <v>16.5</v>
      </c>
      <c r="F27" s="8" t="n">
        <f aca="false">C27*E27</f>
        <v>49.5</v>
      </c>
      <c r="G27" s="9" t="s">
        <v>53</v>
      </c>
    </row>
    <row r="28" customFormat="false" ht="15" hidden="false" customHeight="false" outlineLevel="0" collapsed="false">
      <c r="A28" s="5" t="s">
        <v>62</v>
      </c>
      <c r="B28" s="5"/>
      <c r="C28" s="5"/>
      <c r="D28" s="5"/>
      <c r="E28" s="5"/>
      <c r="F28" s="5"/>
      <c r="G28" s="5"/>
    </row>
    <row r="29" customFormat="false" ht="42" hidden="false" customHeight="true" outlineLevel="0" collapsed="false">
      <c r="A29" s="6" t="s">
        <v>63</v>
      </c>
      <c r="B29" s="6" t="s">
        <v>64</v>
      </c>
      <c r="C29" s="6" t="n">
        <v>1</v>
      </c>
      <c r="D29" s="7" t="s">
        <v>65</v>
      </c>
      <c r="E29" s="8" t="n">
        <v>19.99</v>
      </c>
      <c r="F29" s="8" t="n">
        <f aca="false">C29*E29</f>
        <v>19.99</v>
      </c>
      <c r="G29" s="9" t="s">
        <v>66</v>
      </c>
    </row>
    <row r="30" customFormat="false" ht="15" hidden="false" customHeight="false" outlineLevel="0" collapsed="false">
      <c r="A30" s="10" t="s">
        <v>67</v>
      </c>
      <c r="B30" s="10"/>
      <c r="C30" s="10"/>
      <c r="D30" s="10"/>
      <c r="E30" s="10"/>
      <c r="F30" s="11" t="n">
        <f aca="false">F20+F23+F26+F29</f>
        <v>102.99</v>
      </c>
      <c r="G30" s="12"/>
    </row>
    <row r="31" customFormat="false" ht="15" hidden="false" customHeight="false" outlineLevel="0" collapsed="false">
      <c r="A31" s="10" t="s">
        <v>68</v>
      </c>
      <c r="B31" s="10"/>
      <c r="C31" s="10"/>
      <c r="D31" s="10"/>
      <c r="E31" s="10"/>
      <c r="F31" s="11" t="n">
        <f aca="false">F21+F24+F27+F29</f>
        <v>153.49</v>
      </c>
      <c r="G31" s="12"/>
    </row>
    <row r="33" customFormat="false" ht="15" hidden="false" customHeight="false" outlineLevel="0" collapsed="false">
      <c r="A33" s="14" t="s">
        <v>69</v>
      </c>
      <c r="B33" s="14"/>
      <c r="C33" s="14"/>
      <c r="D33" s="14"/>
      <c r="E33" s="14"/>
      <c r="F33" s="15" t="n">
        <f aca="false">F7+F10+F12+F14</f>
        <v>167.37</v>
      </c>
      <c r="G33" s="16"/>
    </row>
    <row r="35" customFormat="false" ht="15" hidden="false" customHeight="false" outlineLevel="0" collapsed="false">
      <c r="A35" s="17" t="s">
        <v>70</v>
      </c>
      <c r="B35" s="17"/>
      <c r="C35" s="17"/>
      <c r="D35" s="17"/>
      <c r="E35" s="17"/>
      <c r="F35" s="17"/>
      <c r="G35" s="17"/>
    </row>
    <row r="36" customFormat="false" ht="25.5" hidden="false" customHeight="true" outlineLevel="0" collapsed="false">
      <c r="A36" s="18" t="s">
        <v>71</v>
      </c>
      <c r="B36" s="18"/>
      <c r="C36" s="18"/>
      <c r="D36" s="18"/>
      <c r="E36" s="18"/>
      <c r="F36" s="18"/>
      <c r="G36" s="18"/>
    </row>
    <row r="37" customFormat="false" ht="25.5" hidden="false" customHeight="true" outlineLevel="0" collapsed="false">
      <c r="A37" s="18" t="s">
        <v>72</v>
      </c>
      <c r="B37" s="18"/>
      <c r="C37" s="18"/>
      <c r="D37" s="18"/>
      <c r="E37" s="18"/>
      <c r="F37" s="18"/>
      <c r="G37" s="18"/>
    </row>
    <row r="38" customFormat="false" ht="25.5" hidden="false" customHeight="true" outlineLevel="0" collapsed="false">
      <c r="A38" s="18" t="s">
        <v>73</v>
      </c>
      <c r="B38" s="18"/>
      <c r="C38" s="18"/>
      <c r="D38" s="18"/>
      <c r="E38" s="18"/>
      <c r="F38" s="18"/>
      <c r="G38" s="18"/>
    </row>
    <row r="39" customFormat="false" ht="25.5" hidden="false" customHeight="true" outlineLevel="0" collapsed="false">
      <c r="A39" s="18" t="s">
        <v>74</v>
      </c>
      <c r="B39" s="18"/>
      <c r="C39" s="18"/>
      <c r="D39" s="18"/>
      <c r="E39" s="18"/>
      <c r="F39" s="18"/>
      <c r="G39" s="18"/>
    </row>
    <row r="40" customFormat="false" ht="25.5" hidden="false" customHeight="true" outlineLevel="0" collapsed="false">
      <c r="A40" s="18" t="s">
        <v>75</v>
      </c>
      <c r="B40" s="18"/>
      <c r="C40" s="18"/>
      <c r="D40" s="18"/>
      <c r="E40" s="18"/>
      <c r="F40" s="18"/>
      <c r="G40" s="18"/>
    </row>
    <row r="41" customFormat="false" ht="25.5" hidden="false" customHeight="true" outlineLevel="0" collapsed="false">
      <c r="A41" s="18" t="s">
        <v>76</v>
      </c>
      <c r="B41" s="18"/>
      <c r="C41" s="18"/>
      <c r="D41" s="18"/>
      <c r="E41" s="18"/>
      <c r="F41" s="18"/>
      <c r="G41" s="18"/>
    </row>
  </sheetData>
  <mergeCells count="23">
    <mergeCell ref="A1:G1"/>
    <mergeCell ref="A2:G2"/>
    <mergeCell ref="A4:G4"/>
    <mergeCell ref="A6:G6"/>
    <mergeCell ref="A9:G9"/>
    <mergeCell ref="A11:G11"/>
    <mergeCell ref="A13:G13"/>
    <mergeCell ref="A15:E15"/>
    <mergeCell ref="A17:G17"/>
    <mergeCell ref="A19:G19"/>
    <mergeCell ref="A22:G22"/>
    <mergeCell ref="A25:G25"/>
    <mergeCell ref="A28:G28"/>
    <mergeCell ref="A30:E30"/>
    <mergeCell ref="A31:E31"/>
    <mergeCell ref="A33:E33"/>
    <mergeCell ref="A35:G35"/>
    <mergeCell ref="A36:G36"/>
    <mergeCell ref="A37:G37"/>
    <mergeCell ref="A38:G38"/>
    <mergeCell ref="A39:G39"/>
    <mergeCell ref="A40:G40"/>
    <mergeCell ref="A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2026-07-24T02:28:50Z</dcterms:created>
  <dc:creator>openpyxl</dc:creator>
  <dc:description/>
  <dc:language>en-US</dc:language>
  <cp:lastModifiedBy/>
  <dcterms:modified xsi:type="dcterms:W3CDTF">2026-07-24T02:28:50Z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